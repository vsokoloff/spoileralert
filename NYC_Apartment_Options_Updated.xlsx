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partment Options" sheetId="1" state="visible" r:id="rId1"/>
    <sheet xmlns:r="http://schemas.openxmlformats.org/officeDocument/2006/relationships" name="Excluded - Needs Info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\$#,##0"/>
  </numFmts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5"/>
    </font>
    <font>
      <name val="Arial"/>
      <charset val="1"/>
      <family val="0"/>
      <i val="1"/>
      <color rgb="FF404040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1F3864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006100"/>
      <sz val="10"/>
    </font>
    <font>
      <name val="Arial"/>
      <charset val="1"/>
      <family val="0"/>
      <color rgb="FF9C0006"/>
      <sz val="10"/>
    </font>
    <font>
      <name val="Arial"/>
      <charset val="1"/>
      <family val="0"/>
      <b val="1"/>
      <color rgb="FFFFFFFF"/>
      <sz val="14"/>
    </font>
    <font>
      <b val="1"/>
      <color rgb="001F3864"/>
    </font>
    <font>
      <b val="1"/>
      <color rgb="00006100"/>
    </font>
  </fonts>
  <fills count="11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FFF"/>
        <bgColor rgb="FFF2F2F2"/>
      </patternFill>
    </fill>
    <fill>
      <patternFill patternType="solid">
        <fgColor rgb="FFC6EFCE"/>
        <bgColor rgb="FFCCFFFF"/>
      </patternFill>
    </fill>
    <fill>
      <patternFill patternType="solid">
        <fgColor rgb="FFF2F2F2"/>
        <bgColor rgb="FFFFFFFF"/>
      </patternFill>
    </fill>
    <fill>
      <patternFill patternType="solid">
        <fgColor rgb="FFFFEB9C"/>
        <bgColor rgb="FFF2F2F2"/>
      </patternFill>
    </fill>
    <fill>
      <patternFill patternType="solid">
        <fgColor rgb="FFFFC7CE"/>
        <bgColor rgb="FFFFEB9C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top"/>
    </xf>
    <xf numFmtId="0" fontId="8" fillId="3" borderId="1" applyAlignment="1" pivotButton="0" quotePrefix="0" xfId="0">
      <alignment horizontal="general" vertical="top" wrapText="1"/>
    </xf>
    <xf numFmtId="164" fontId="8" fillId="3" borderId="1" applyAlignment="1" pivotButton="0" quotePrefix="0" xfId="0">
      <alignment horizontal="center" vertical="top"/>
    </xf>
    <xf numFmtId="164" fontId="8" fillId="4" borderId="1" applyAlignment="1" pivotButton="0" quotePrefix="0" xfId="0">
      <alignment horizontal="center" vertical="top"/>
    </xf>
    <xf numFmtId="0" fontId="9" fillId="4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center" vertical="top"/>
    </xf>
    <xf numFmtId="0" fontId="8" fillId="5" borderId="1" applyAlignment="1" pivotButton="0" quotePrefix="0" xfId="0">
      <alignment horizontal="general" vertical="top" wrapText="1"/>
    </xf>
    <xf numFmtId="164" fontId="8" fillId="5" borderId="1" applyAlignment="1" pivotButton="0" quotePrefix="0" xfId="0">
      <alignment horizontal="center" vertical="top"/>
    </xf>
    <xf numFmtId="164" fontId="8" fillId="6" borderId="1" applyAlignment="1" pivotButton="0" quotePrefix="0" xfId="0">
      <alignment horizontal="center" vertical="top"/>
    </xf>
    <xf numFmtId="0" fontId="8" fillId="6" borderId="1" applyAlignment="1" pivotButton="0" quotePrefix="0" xfId="0">
      <alignment horizontal="general" vertical="top" wrapText="1"/>
    </xf>
    <xf numFmtId="0" fontId="10" fillId="7" borderId="1" applyAlignment="1" pivotButton="0" quotePrefix="0" xfId="0">
      <alignment horizontal="general" vertical="top" wrapText="1"/>
    </xf>
    <xf numFmtId="0" fontId="11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top"/>
    </xf>
    <xf numFmtId="0" fontId="8" fillId="3" borderId="1" applyAlignment="1" pivotButton="0" quotePrefix="0" xfId="0">
      <alignment horizontal="general" vertical="top" wrapText="1"/>
    </xf>
    <xf numFmtId="164" fontId="8" fillId="3" borderId="1" applyAlignment="1" pivotButton="0" quotePrefix="0" xfId="0">
      <alignment horizontal="center" vertical="top"/>
    </xf>
    <xf numFmtId="164" fontId="8" fillId="4" borderId="1" applyAlignment="1" pivotButton="0" quotePrefix="0" xfId="0">
      <alignment horizontal="center" vertical="top"/>
    </xf>
    <xf numFmtId="0" fontId="9" fillId="4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center" vertical="top"/>
    </xf>
    <xf numFmtId="0" fontId="8" fillId="5" borderId="1" applyAlignment="1" pivotButton="0" quotePrefix="0" xfId="0">
      <alignment horizontal="general" vertical="top" wrapText="1"/>
    </xf>
    <xf numFmtId="164" fontId="8" fillId="5" borderId="1" applyAlignment="1" pivotButton="0" quotePrefix="0" xfId="0">
      <alignment horizontal="center" vertical="top"/>
    </xf>
    <xf numFmtId="164" fontId="8" fillId="6" borderId="1" applyAlignment="1" pivotButton="0" quotePrefix="0" xfId="0">
      <alignment horizontal="center" vertical="top"/>
    </xf>
    <xf numFmtId="0" fontId="8" fillId="6" borderId="1" applyAlignment="1" pivotButton="0" quotePrefix="0" xfId="0">
      <alignment horizontal="general" vertical="top" wrapText="1"/>
    </xf>
    <xf numFmtId="0" fontId="10" fillId="7" borderId="1" applyAlignment="1" pivotButton="0" quotePrefix="0" xfId="0">
      <alignment horizontal="general" vertical="top" wrapText="1"/>
    </xf>
    <xf numFmtId="0" fontId="12" fillId="8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12" fillId="10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13" fillId="9" borderId="0" applyAlignment="1" pivotButton="0" quotePrefix="0" xfId="0">
      <alignment vertical="top" wrapText="1"/>
    </xf>
    <xf numFmtId="0" fontId="11" fillId="2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6" min="1" max="1"/>
    <col width="24" customWidth="1" style="16" min="2" max="2"/>
    <col width="17" customWidth="1" style="16" min="3" max="3"/>
    <col width="11" customWidth="1" style="16" min="4" max="6"/>
    <col width="15" customWidth="1" style="16" min="7" max="7"/>
    <col width="13" customWidth="1" style="16" min="8" max="8"/>
    <col width="15" customWidth="1" style="16" min="9" max="9"/>
    <col width="18" customWidth="1" style="16" min="10" max="10"/>
    <col width="22" customWidth="1" style="16" min="11" max="11"/>
    <col width="15" customWidth="1" style="16" min="12" max="12"/>
    <col width="13" customWidth="1" style="16" min="13" max="13"/>
    <col width="17" customWidth="1" style="16" min="14" max="14"/>
    <col width="52" customWidth="1" style="16" min="15" max="15"/>
  </cols>
  <sheetData>
    <row r="1" ht="25.5" customHeight="1" s="17">
      <c r="A1" s="18" t="inlineStr">
        <is>
          <t>NYC Apartment Hunt — Options Ranked by Fit</t>
        </is>
      </c>
    </row>
    <row r="2" ht="30" customHeight="1" s="17">
      <c r="A2" s="19" t="inlineStr">
        <is>
          <t>Criteria: ≤ $1,900/person ideal (kept everything ≤ $2,000), in-unit washer/dryer, Columbia ≤1 transfer &amp; reasonable time, easy NYU, Brooklyn-friendly, no further north than Clinton Hill / Hell's Kitchen. Cat = nice-to-have. Target move-in: early August.</t>
        </is>
      </c>
    </row>
    <row r="4" ht="30" customHeight="1" s="17">
      <c r="A4" s="20" t="inlineStr">
        <is>
          <t>Rank</t>
        </is>
      </c>
      <c r="B4" s="20" t="inlineStr">
        <is>
          <t>Address / Listing</t>
        </is>
      </c>
      <c r="C4" s="20" t="inlineStr">
        <is>
          <t>Neighborhood</t>
        </is>
      </c>
      <c r="D4" s="20" t="inlineStr">
        <is>
          <t>Borough</t>
        </is>
      </c>
      <c r="E4" s="20" t="inlineStr">
        <is>
          <t>Beds/Bath</t>
        </is>
      </c>
      <c r="F4" s="20" t="inlineStr">
        <is>
          <t>Rent ($/mo)</t>
        </is>
      </c>
      <c r="G4" s="20" t="inlineStr">
        <is>
          <t>Rent basis</t>
        </is>
      </c>
      <c r="H4" s="20" t="inlineStr">
        <is>
          <t>Per person ($/mo)</t>
        </is>
      </c>
      <c r="I4" s="20" t="inlineStr">
        <is>
          <t>In-unit W/D</t>
        </is>
      </c>
      <c r="J4" s="20" t="inlineStr">
        <is>
          <t>Pets / Cat</t>
        </is>
      </c>
      <c r="K4" s="20" t="inlineStr">
        <is>
          <t>Columbia commute</t>
        </is>
      </c>
      <c r="L4" s="20" t="inlineStr">
        <is>
          <t>NYU commute</t>
        </is>
      </c>
      <c r="M4" s="20" t="inlineStr">
        <is>
          <t>Move-in</t>
        </is>
      </c>
      <c r="N4" s="20" t="inlineStr">
        <is>
          <t>Source</t>
        </is>
      </c>
      <c r="O4" s="20" t="inlineStr">
        <is>
          <t>Notes / verdict</t>
        </is>
      </c>
    </row>
    <row r="5" ht="55.5" customHeight="1" s="17">
      <c r="A5" s="21" t="n">
        <v>1</v>
      </c>
      <c r="B5" s="22" t="inlineStr">
        <is>
          <t>433 Dean St (Park Slope)</t>
        </is>
      </c>
      <c r="C5" s="22" t="inlineStr">
        <is>
          <t>Park Slope</t>
        </is>
      </c>
      <c r="D5" s="22" t="inlineStr">
        <is>
          <t>Brooklyn</t>
        </is>
      </c>
      <c r="E5" s="22" t="inlineStr">
        <is>
          <t>2BR/1BA</t>
        </is>
      </c>
      <c r="F5" s="23" t="n">
        <v>3605</v>
      </c>
      <c r="G5" s="22" t="inlineStr">
        <is>
          <t>whole unit (÷2)</t>
        </is>
      </c>
      <c r="H5" s="24">
        <f>F5/2</f>
        <v/>
      </c>
      <c r="I5" s="25" t="inlineStr">
        <is>
          <t>Yes</t>
        </is>
      </c>
      <c r="J5" s="22" t="inlineStr">
        <is>
          <t>Cats OK ($300 + $30/mo)</t>
        </is>
      </c>
      <c r="K5" s="22" t="inlineStr">
        <is>
          <t>1 transfer (2/3→1) ~45–50 min</t>
        </is>
      </c>
      <c r="L5" s="22" t="inlineStr">
        <is>
          <t>~25 min</t>
        </is>
      </c>
      <c r="M5" s="22" t="inlineStr">
        <is>
          <t>Flexible (listed now)</t>
        </is>
      </c>
      <c r="N5" s="22" t="inlineStr">
        <is>
          <t>Zumper (verified)</t>
        </is>
      </c>
      <c r="O5" s="22" t="inlineStr">
        <is>
          <t>Best all-around: in-unit W/D + cat-friendly + low-end in budget. Confirm which unit is $3,605 (high end $3,950 = $1,975/person).</t>
        </is>
      </c>
    </row>
    <row r="6" ht="55.5" customHeight="1" s="17">
      <c r="A6" s="26" t="n">
        <v>2</v>
      </c>
      <c r="B6" s="27" t="inlineStr">
        <is>
          <t>955 Grand St #1R</t>
        </is>
      </c>
      <c r="C6" s="27" t="inlineStr">
        <is>
          <t>East Williamsburg</t>
        </is>
      </c>
      <c r="D6" s="27" t="inlineStr">
        <is>
          <t>Brooklyn</t>
        </is>
      </c>
      <c r="E6" s="27" t="inlineStr">
        <is>
          <t>2BR/1BA</t>
        </is>
      </c>
      <c r="F6" s="28" t="n">
        <v>3999</v>
      </c>
      <c r="G6" s="27" t="inlineStr">
        <is>
          <t>whole unit (÷2)</t>
        </is>
      </c>
      <c r="H6" s="29">
        <f>F6/2</f>
        <v/>
      </c>
      <c r="I6" s="25" t="inlineStr">
        <is>
          <t>Yes</t>
        </is>
      </c>
      <c r="J6" s="27" t="inlineStr">
        <is>
          <t>Not stated — ask</t>
        </is>
      </c>
      <c r="K6" s="27" t="inlineStr">
        <is>
          <t>1 transfer (L→C) ~50 min</t>
        </is>
      </c>
      <c r="L6" s="27" t="inlineStr">
        <is>
          <t>~25 min (L)</t>
        </is>
      </c>
      <c r="M6" s="27" t="inlineStr">
        <is>
          <t>7/1/2026</t>
        </is>
      </c>
      <c r="N6" s="27" t="inlineStr">
        <is>
          <t>StreetEasy (verified)</t>
        </is>
      </c>
      <c r="O6" s="27" t="inlineStr">
        <is>
          <t>Prime Brooklyn, private bedrooms on opposite ends + shared garden. $2,000/person = at your cap; try to negotiate. Ask about pets.</t>
        </is>
      </c>
    </row>
    <row r="7" ht="55.5" customHeight="1" s="17">
      <c r="A7" s="21" t="n">
        <v>3</v>
      </c>
      <c r="B7" s="22" t="inlineStr">
        <is>
          <t>Bushwick 4BR (Caroline &amp; Jill)</t>
        </is>
      </c>
      <c r="C7" s="22" t="inlineStr">
        <is>
          <t>Bushwick</t>
        </is>
      </c>
      <c r="D7" s="22" t="inlineStr">
        <is>
          <t>Brooklyn</t>
        </is>
      </c>
      <c r="E7" s="22" t="inlineStr">
        <is>
          <t>4BR/2BA</t>
        </is>
      </c>
      <c r="F7" s="23" t="n">
        <v>1300</v>
      </c>
      <c r="G7" s="22" t="inlineStr">
        <is>
          <t>per room</t>
        </is>
      </c>
      <c r="H7" s="24">
        <f>F7/1</f>
        <v/>
      </c>
      <c r="I7" s="30" t="inlineStr">
        <is>
          <t>Washer (confirm dryer)</t>
        </is>
      </c>
      <c r="J7" s="22" t="inlineStr">
        <is>
          <t>No pets</t>
        </is>
      </c>
      <c r="K7" s="22" t="inlineStr">
        <is>
          <t>1 transfer (L→C) ~55 min</t>
        </is>
      </c>
      <c r="L7" s="22" t="inlineStr">
        <is>
          <t>~30 min (L/M)</t>
        </is>
      </c>
      <c r="M7" s="22" t="inlineStr">
        <is>
          <t>7/1/2026</t>
        </is>
      </c>
      <c r="N7" s="22" t="inlineStr">
        <is>
          <t>Facebook</t>
        </is>
      </c>
      <c r="O7" s="22" t="inlineStr">
        <is>
          <t>2 rooms open = no 3rd roommate needed. Well under budget + in-unit washer + central AC. Female-identifying; no pets. Confirm a dryer.</t>
        </is>
      </c>
    </row>
    <row r="8" ht="55.5" customHeight="1" s="17">
      <c r="A8" s="26" t="n">
        <v>4</v>
      </c>
      <c r="B8" s="27" t="inlineStr">
        <is>
          <t>595 10th Ave #4N</t>
        </is>
      </c>
      <c r="C8" s="27" t="inlineStr">
        <is>
          <t>Hell's Kitchen</t>
        </is>
      </c>
      <c r="D8" s="27" t="inlineStr">
        <is>
          <t>Manhattan</t>
        </is>
      </c>
      <c r="E8" s="27" t="inlineStr">
        <is>
          <t>2BR/1BA</t>
        </is>
      </c>
      <c r="F8" s="28" t="n">
        <v>3950</v>
      </c>
      <c r="G8" s="27" t="inlineStr">
        <is>
          <t>whole unit (÷2)</t>
        </is>
      </c>
      <c r="H8" s="29">
        <f>F8/2</f>
        <v/>
      </c>
      <c r="I8" s="25" t="inlineStr">
        <is>
          <t>Yes</t>
        </is>
      </c>
      <c r="J8" s="27" t="inlineStr">
        <is>
          <t>Not stated</t>
        </is>
      </c>
      <c r="K8" s="27" t="inlineStr">
        <is>
          <t>0 transfers (1 train) ~30 min</t>
        </is>
      </c>
      <c r="L8" s="27" t="inlineStr">
        <is>
          <t>~20 min (1)</t>
        </is>
      </c>
      <c r="M8" s="27" t="inlineStr">
        <is>
          <t>8/5/2026</t>
        </is>
      </c>
      <c r="N8" s="27" t="inlineStr">
        <is>
          <t>StreetEasy (verified)</t>
        </is>
      </c>
      <c r="O8" s="27" t="inlineStr">
        <is>
          <t>Best Columbia commute of all — straight 1 train. Catch: railroad layout (rooms open into each other = low privacy) and farthest from Brooklyn friends.</t>
        </is>
      </c>
    </row>
    <row r="9" ht="55.5" customHeight="1" s="17">
      <c r="A9" s="21" t="n">
        <v>5</v>
      </c>
      <c r="B9" s="22" t="inlineStr">
        <is>
          <t>Clinton Hill 2BR</t>
        </is>
      </c>
      <c r="C9" s="22" t="inlineStr">
        <is>
          <t>Clinton Hill</t>
        </is>
      </c>
      <c r="D9" s="22" t="inlineStr">
        <is>
          <t>Brooklyn</t>
        </is>
      </c>
      <c r="E9" s="22" t="inlineStr">
        <is>
          <t>2BR/1BA</t>
        </is>
      </c>
      <c r="F9" s="23" t="n">
        <v>3500</v>
      </c>
      <c r="G9" s="22" t="inlineStr">
        <is>
          <t>whole unit (÷2)</t>
        </is>
      </c>
      <c r="H9" s="24">
        <f>F9/2</f>
        <v/>
      </c>
      <c r="I9" s="31" t="inlineStr">
        <is>
          <t>In-building (not in-unit)</t>
        </is>
      </c>
      <c r="J9" s="22" t="inlineStr">
        <is>
          <t>Pets OK w/ approval</t>
        </is>
      </c>
      <c r="K9" s="22" t="inlineStr">
        <is>
          <t>0 transfers (C @ Franklin) ~50–55 min</t>
        </is>
      </c>
      <c r="L9" s="22" t="inlineStr">
        <is>
          <t>~30 min (C)</t>
        </is>
      </c>
      <c r="M9" s="22" t="inlineStr">
        <is>
          <t>6/1/2026</t>
        </is>
      </c>
      <c r="N9" s="22" t="inlineStr">
        <is>
          <t>Facebook</t>
        </is>
      </c>
      <c r="O9" s="22" t="inlineStr">
        <is>
          <t>Your northern anchor; single-seat C to Columbia. Laundry is in-building, not in-unit. Lease starts 6/1 — negotiate gap to August.</t>
        </is>
      </c>
    </row>
    <row r="10" ht="55.5" customHeight="1" s="17">
      <c r="A10" s="26" t="n">
        <v>6</v>
      </c>
      <c r="B10" s="27" t="inlineStr">
        <is>
          <t>300 E 46th St</t>
        </is>
      </c>
      <c r="C10" s="27" t="inlineStr">
        <is>
          <t>Midtown East</t>
        </is>
      </c>
      <c r="D10" s="27" t="inlineStr">
        <is>
          <t>Manhattan</t>
        </is>
      </c>
      <c r="E10" s="27" t="inlineStr">
        <is>
          <t>Flex rooms</t>
        </is>
      </c>
      <c r="F10" s="28" t="n">
        <v>1460</v>
      </c>
      <c r="G10" s="27" t="inlineStr">
        <is>
          <t>per room</t>
        </is>
      </c>
      <c r="H10" s="24">
        <f>F10/1</f>
        <v/>
      </c>
      <c r="I10" s="31" t="inlineStr">
        <is>
          <t>Basement (not in-unit)</t>
        </is>
      </c>
      <c r="J10" s="27" t="inlineStr">
        <is>
          <t>Not stated</t>
        </is>
      </c>
      <c r="K10" s="27" t="inlineStr">
        <is>
          <t>1 transfer ~45 min</t>
        </is>
      </c>
      <c r="L10" s="27" t="inlineStr">
        <is>
          <t>~15 min (6)</t>
        </is>
      </c>
      <c r="M10" s="27" t="inlineStr">
        <is>
          <t>8/1/2026</t>
        </is>
      </c>
      <c r="N10" s="27" t="inlineStr">
        <is>
          <t>Facebook</t>
        </is>
      </c>
      <c r="O10" s="27" t="inlineStr">
        <is>
          <t>Great price + exact August date + doorman/elevator/rooftop. Misses: laundry in basement, bedrooms are flex (pressurized) conversions.</t>
        </is>
      </c>
    </row>
    <row r="11" ht="55.5" customHeight="1" s="17">
      <c r="A11" s="21" t="n">
        <v>7</v>
      </c>
      <c r="B11" s="22" t="inlineStr">
        <is>
          <t>LES 3BR w/ Angela</t>
        </is>
      </c>
      <c r="C11" s="22" t="inlineStr">
        <is>
          <t>Lower East Side</t>
        </is>
      </c>
      <c r="D11" s="22" t="inlineStr">
        <is>
          <t>Manhattan</t>
        </is>
      </c>
      <c r="E11" s="22" t="inlineStr">
        <is>
          <t>3BR/1BA</t>
        </is>
      </c>
      <c r="F11" s="23" t="n">
        <v>1730</v>
      </c>
      <c r="G11" s="22" t="inlineStr">
        <is>
          <t>per room</t>
        </is>
      </c>
      <c r="H11" s="24">
        <f>F11/1</f>
        <v/>
      </c>
      <c r="I11" s="31" t="inlineStr">
        <is>
          <t>No (dishwasher only)</t>
        </is>
      </c>
      <c r="J11" s="22" t="inlineStr">
        <is>
          <t>Not stated</t>
        </is>
      </c>
      <c r="K11" s="22" t="inlineStr">
        <is>
          <t>1 transfer (B, weekday) ~40–45 min</t>
        </is>
      </c>
      <c r="L11" s="22" t="inlineStr">
        <is>
          <t>~15 min</t>
        </is>
      </c>
      <c r="M11" s="22" t="inlineStr">
        <is>
          <t>7/1/2026</t>
        </is>
      </c>
      <c r="N11" s="22" t="inlineStr">
        <is>
          <t>Facebook</t>
        </is>
      </c>
      <c r="O11" s="22" t="inlineStr">
        <is>
          <t>Two rooms open with Angela = no 3rd roommate to find. Under budget. No in-unit W/D. B train doesn't run weekends — check that.</t>
        </is>
      </c>
    </row>
    <row r="12" ht="55.5" customHeight="1" s="17">
      <c r="A12" s="26" t="n">
        <v>8</v>
      </c>
      <c r="B12" s="27" t="inlineStr">
        <is>
          <t>Williamsburg rent-stabilized 3BR</t>
        </is>
      </c>
      <c r="C12" s="27" t="inlineStr">
        <is>
          <t>Williamsburg</t>
        </is>
      </c>
      <c r="D12" s="27" t="inlineStr">
        <is>
          <t>Brooklyn</t>
        </is>
      </c>
      <c r="E12" s="27" t="inlineStr">
        <is>
          <t>3BR/1BA</t>
        </is>
      </c>
      <c r="F12" s="28" t="n">
        <v>5301.81</v>
      </c>
      <c r="G12" s="27" t="inlineStr">
        <is>
          <t>whole unit (÷3)</t>
        </is>
      </c>
      <c r="H12" s="24">
        <f>F12/3</f>
        <v/>
      </c>
      <c r="I12" s="31" t="inlineStr">
        <is>
          <t>In-building (not in-unit)</t>
        </is>
      </c>
      <c r="J12" s="27" t="inlineStr">
        <is>
          <t>Pet friendly</t>
        </is>
      </c>
      <c r="K12" s="27" t="inlineStr">
        <is>
          <t>1 transfer (L→C) ~50 min</t>
        </is>
      </c>
      <c r="L12" s="27" t="inlineStr">
        <is>
          <t>~25 min (L)</t>
        </is>
      </c>
      <c r="M12" s="27" t="inlineStr">
        <is>
          <t>6/1/2026</t>
        </is>
      </c>
      <c r="N12" s="27" t="inlineStr">
        <is>
          <t>Facebook</t>
        </is>
      </c>
      <c r="O12" s="27" t="inlineStr">
        <is>
          <t>Needs your 3rd roommate. Rent-stabilized (caps future increases) + prime Williamsburg near Domino Park. Laundry in-building; 6/1 start.</t>
        </is>
      </c>
    </row>
    <row r="13" ht="55.5" customHeight="1" s="17">
      <c r="A13" s="21" t="n">
        <v>9</v>
      </c>
      <c r="B13" s="22" t="inlineStr">
        <is>
          <t>246 Pacific St</t>
        </is>
      </c>
      <c r="C13" s="22" t="inlineStr">
        <is>
          <t>Boerum Hill</t>
        </is>
      </c>
      <c r="D13" s="22" t="inlineStr">
        <is>
          <t>Brooklyn</t>
        </is>
      </c>
      <c r="E13" s="22" t="inlineStr">
        <is>
          <t>3BR/1BA</t>
        </is>
      </c>
      <c r="F13" s="23" t="n">
        <v>5600</v>
      </c>
      <c r="G13" s="22" t="inlineStr">
        <is>
          <t>whole unit (÷3)</t>
        </is>
      </c>
      <c r="H13" s="24">
        <f>F13/3</f>
        <v/>
      </c>
      <c r="I13" s="31" t="inlineStr">
        <is>
          <t>Not stated — ask</t>
        </is>
      </c>
      <c r="J13" s="22" t="inlineStr">
        <is>
          <t>Dog &amp; cat friendly</t>
        </is>
      </c>
      <c r="K13" s="22" t="inlineStr">
        <is>
          <t>1 transfer (2/3→1) ~45–50 min</t>
        </is>
      </c>
      <c r="L13" s="22" t="inlineStr">
        <is>
          <t>~25 min</t>
        </is>
      </c>
      <c r="M13" s="22" t="inlineStr">
        <is>
          <t>7/1/2026</t>
        </is>
      </c>
      <c r="N13" s="22" t="inlineStr">
        <is>
          <t>Facebook Marketplace</t>
        </is>
      </c>
      <c r="O13" s="22" t="inlineStr">
        <is>
          <t>Needs your 3rd roommate to fit budget ($2,800 each with 2). Cat-friendly. Confirm laundry.</t>
        </is>
      </c>
    </row>
    <row r="14" ht="55.5" customHeight="1" s="17">
      <c r="A14" s="26" t="n">
        <v>10</v>
      </c>
      <c r="B14" s="27" t="inlineStr">
        <is>
          <t>543 East 5th St #13</t>
        </is>
      </c>
      <c r="C14" s="27" t="inlineStr">
        <is>
          <t>East Village</t>
        </is>
      </c>
      <c r="D14" s="27" t="inlineStr">
        <is>
          <t>Manhattan</t>
        </is>
      </c>
      <c r="E14" s="27" t="inlineStr">
        <is>
          <t>Flex 2BR</t>
        </is>
      </c>
      <c r="F14" s="28" t="n">
        <v>3100</v>
      </c>
      <c r="G14" s="27" t="inlineStr">
        <is>
          <t>whole unit (÷2)</t>
        </is>
      </c>
      <c r="H14" s="24">
        <f>F14/2</f>
        <v/>
      </c>
      <c r="I14" s="31" t="inlineStr">
        <is>
          <t>No (laundromats nearby)</t>
        </is>
      </c>
      <c r="J14" s="27" t="inlineStr">
        <is>
          <t>Pet friendly</t>
        </is>
      </c>
      <c r="K14" s="27" t="inlineStr">
        <is>
          <t>1+ transfer ~50 min</t>
        </is>
      </c>
      <c r="L14" s="27" t="inlineStr">
        <is>
          <t>~15 min walk</t>
        </is>
      </c>
      <c r="M14" s="27" t="inlineStr">
        <is>
          <t>8/1/2026</t>
        </is>
      </c>
      <c r="N14" s="27" t="inlineStr">
        <is>
          <t>MetroNest (verified)</t>
        </is>
      </c>
      <c r="O14" s="27" t="inlineStr">
        <is>
          <t>Cheapest qualifying option + pet friendly + walk to NYU. But no in-unit W/D and it's a flex (converted) 2BR.</t>
        </is>
      </c>
    </row>
    <row r="15" ht="55.5" customHeight="1" s="17">
      <c r="A15" s="21" t="n">
        <v>11</v>
      </c>
      <c r="B15" s="22" t="inlineStr">
        <is>
          <t>LES sublet near Bowery</t>
        </is>
      </c>
      <c r="C15" s="22" t="inlineStr">
        <is>
          <t>Lower East Side</t>
        </is>
      </c>
      <c r="D15" s="22" t="inlineStr">
        <is>
          <t>Manhattan</t>
        </is>
      </c>
      <c r="E15" s="22" t="inlineStr">
        <is>
          <t>2BR/1BA</t>
        </is>
      </c>
      <c r="F15" s="23" t="n">
        <v>3950</v>
      </c>
      <c r="G15" s="22" t="inlineStr">
        <is>
          <t>whole unit (÷2)</t>
        </is>
      </c>
      <c r="H15" s="29">
        <f>F15/2</f>
        <v/>
      </c>
      <c r="I15" s="31" t="inlineStr">
        <is>
          <t>No (laundromats nearby)</t>
        </is>
      </c>
      <c r="J15" s="22" t="inlineStr">
        <is>
          <t>Pet friendly</t>
        </is>
      </c>
      <c r="K15" s="22" t="inlineStr">
        <is>
          <t>1+ transfer ~50 min</t>
        </is>
      </c>
      <c r="L15" s="22" t="inlineStr">
        <is>
          <t>~20 min walk</t>
        </is>
      </c>
      <c r="M15" s="22" t="inlineStr">
        <is>
          <t>Lease 7/1/2026</t>
        </is>
      </c>
      <c r="N15" s="22" t="inlineStr">
        <is>
          <t>Facebook</t>
        </is>
      </c>
      <c r="O15" s="22" t="inlineStr">
        <is>
          <t>Lease-takeover rent is $1,975/person; June sublet cheaper but ends before you'd move. No in-unit W/D; weak Columbia commute.</t>
        </is>
      </c>
    </row>
    <row r="16">
      <c r="A16" s="32" t="n">
        <v>12</v>
      </c>
      <c r="B16" s="33" t="inlineStr">
        <is>
          <t>300 W 49th St #802</t>
        </is>
      </c>
      <c r="C16" s="33" t="inlineStr">
        <is>
          <t>Hell's Kitchen</t>
        </is>
      </c>
      <c r="D16" s="33" t="inlineStr">
        <is>
          <t>Manhattan</t>
        </is>
      </c>
      <c r="E16" s="33" t="inlineStr">
        <is>
          <t>2BR/1BA</t>
        </is>
      </c>
      <c r="F16" s="33" t="n">
        <v>3300</v>
      </c>
      <c r="G16" s="33" t="inlineStr">
        <is>
          <t>whole unit (÷2)</t>
        </is>
      </c>
      <c r="H16" s="34" t="n">
        <v>1650</v>
      </c>
      <c r="I16" s="33" t="inlineStr">
        <is>
          <t>Ask — not listed</t>
        </is>
      </c>
      <c r="J16" s="33" t="inlineStr">
        <is>
          <t>Yes (pet friendly)</t>
        </is>
      </c>
      <c r="K16" s="33" t="inlineStr">
        <is>
          <t>0 transfers (1 train) ~30 min</t>
        </is>
      </c>
      <c r="L16" s="33" t="inlineStr">
        <is>
          <t>~20 min (1/A/C/E)</t>
        </is>
      </c>
      <c r="M16" s="33" t="inlineStr">
        <is>
          <t>Not specified</t>
        </is>
      </c>
      <c r="N16" s="33" t="inlineStr">
        <is>
          <t>Zumper (verified)</t>
        </is>
      </c>
      <c r="O16" s="33" t="inlineStr">
        <is>
          <t>Best Columbia commute of new listings — direct 1 train, ~$1,650/person. Pet friendly. Confirm in-unit W/D (not shown in listing). If W/D confirmed, rivals ranks #1–2.</t>
        </is>
      </c>
    </row>
    <row r="17">
      <c r="A17" s="35" t="n">
        <v>13</v>
      </c>
      <c r="B17" s="36" t="inlineStr">
        <is>
          <t>126 West St #3</t>
        </is>
      </c>
      <c r="C17" s="36" t="inlineStr">
        <is>
          <t>West Village / Tribeca border</t>
        </is>
      </c>
      <c r="D17" s="36" t="inlineStr">
        <is>
          <t>Manhattan</t>
        </is>
      </c>
      <c r="E17" s="36" t="inlineStr">
        <is>
          <t>2BR/1BA</t>
        </is>
      </c>
      <c r="F17" s="36" t="n">
        <v>3695</v>
      </c>
      <c r="G17" s="36" t="inlineStr">
        <is>
          <t>whole unit (÷2)</t>
        </is>
      </c>
      <c r="H17" s="34" t="n">
        <v>1847.5</v>
      </c>
      <c r="I17" s="36" t="inlineStr">
        <is>
          <t>Ask — not listed</t>
        </is>
      </c>
      <c r="J17" s="36" t="inlineStr">
        <is>
          <t>Yes (pet friendly)</t>
        </is>
      </c>
      <c r="K17" s="36" t="inlineStr">
        <is>
          <t>0 transfers (1 train from Canal/Houston) ~40 min</t>
        </is>
      </c>
      <c r="L17" s="36" t="inlineStr">
        <is>
          <t>~15 min walk</t>
        </is>
      </c>
      <c r="M17" s="36" t="inlineStr">
        <is>
          <t>Listed recently</t>
        </is>
      </c>
      <c r="N17" s="36" t="inlineStr">
        <is>
          <t>Zumper (TurboTenant)</t>
        </is>
      </c>
      <c r="O17" s="36" t="inlineStr">
        <is>
          <t>Direct 1 train to Columbia (~40 min), walking distance to NYU. Pet friendly. Good price. Confirm in-unit W/D.</t>
        </is>
      </c>
    </row>
    <row r="18">
      <c r="A18" s="32" t="n">
        <v>14</v>
      </c>
      <c r="B18" s="33" t="inlineStr">
        <is>
          <t>125 Thames St #4L</t>
        </is>
      </c>
      <c r="C18" s="33" t="inlineStr">
        <is>
          <t>East Williamsburg</t>
        </is>
      </c>
      <c r="D18" s="33" t="inlineStr">
        <is>
          <t>Brooklyn</t>
        </is>
      </c>
      <c r="E18" s="33" t="inlineStr">
        <is>
          <t>2BR/1.5BA</t>
        </is>
      </c>
      <c r="F18" s="33" t="n">
        <v>3800</v>
      </c>
      <c r="G18" s="33" t="inlineStr">
        <is>
          <t>whole unit (÷2)</t>
        </is>
      </c>
      <c r="H18" s="34" t="n">
        <v>1900</v>
      </c>
      <c r="I18" s="37" t="inlineStr">
        <is>
          <t>Yes</t>
        </is>
      </c>
      <c r="J18" s="33" t="inlineStr">
        <is>
          <t>Ask — not listed</t>
        </is>
      </c>
      <c r="K18" s="33" t="inlineStr">
        <is>
          <t>1 transfer (L→C) ~50 min</t>
        </is>
      </c>
      <c r="L18" s="33" t="inlineStr">
        <is>
          <t>~25 min (L)</t>
        </is>
      </c>
      <c r="M18" s="33" t="inlineStr">
        <is>
          <t>7/31/2026</t>
        </is>
      </c>
      <c r="N18" s="33" t="inlineStr">
        <is>
          <t>StreetEasy (verified)</t>
        </is>
      </c>
      <c r="O18" s="33" t="inlineStr">
        <is>
          <t>In-unit W/D confirmed ✓. Available basically August 1. 2BR/1.5BA with roof deck. At your $1,900/person cap. Columbia ~50 min is technically over 45 min. Ask about cats.</t>
        </is>
      </c>
    </row>
    <row r="19">
      <c r="A19" s="35" t="n">
        <v>15</v>
      </c>
      <c r="B19" s="36" t="inlineStr">
        <is>
          <t>E 2nd St #4</t>
        </is>
      </c>
      <c r="C19" s="36" t="inlineStr">
        <is>
          <t>East Village</t>
        </is>
      </c>
      <c r="D19" s="36" t="inlineStr">
        <is>
          <t>Manhattan</t>
        </is>
      </c>
      <c r="E19" s="36" t="inlineStr">
        <is>
          <t>2BR/1BA</t>
        </is>
      </c>
      <c r="F19" s="36" t="n">
        <v>3750</v>
      </c>
      <c r="G19" s="36" t="inlineStr">
        <is>
          <t>whole unit (÷2)</t>
        </is>
      </c>
      <c r="H19" s="34" t="n">
        <v>1875</v>
      </c>
      <c r="I19" s="36" t="inlineStr">
        <is>
          <t>Ask — not listed</t>
        </is>
      </c>
      <c r="J19" s="36" t="inlineStr">
        <is>
          <t>Yes (pet friendly)</t>
        </is>
      </c>
      <c r="K19" s="36" t="inlineStr">
        <is>
          <t>1 transfer (B/D or A/C) ~45 min</t>
        </is>
      </c>
      <c r="L19" s="36" t="inlineStr">
        <is>
          <t>~10 min walk</t>
        </is>
      </c>
      <c r="M19" s="36" t="inlineStr">
        <is>
          <t>Not specified</t>
        </is>
      </c>
      <c r="N19" s="36" t="inlineStr">
        <is>
          <t>Zumper (verified)</t>
        </is>
      </c>
      <c r="O19" s="36" t="inlineStr">
        <is>
          <t>Pet friendly. Walking distance to NYU. $1,875/person. Confirm in-unit W/D. Good for Brooklyn access (L at 14th). Columbia ~45 min via B/D.</t>
        </is>
      </c>
    </row>
    <row r="20">
      <c r="A20" s="32" t="n">
        <v>16</v>
      </c>
      <c r="B20" s="33" t="inlineStr">
        <is>
          <t>955 Grand St #3</t>
        </is>
      </c>
      <c r="C20" s="33" t="inlineStr">
        <is>
          <t>East Williamsburg</t>
        </is>
      </c>
      <c r="D20" s="33" t="inlineStr">
        <is>
          <t>Brooklyn</t>
        </is>
      </c>
      <c r="E20" s="33" t="inlineStr">
        <is>
          <t>2BR/1BA</t>
        </is>
      </c>
      <c r="F20" s="33" t="n">
        <v>3600</v>
      </c>
      <c r="G20" s="33" t="inlineStr">
        <is>
          <t>whole unit (÷2)</t>
        </is>
      </c>
      <c r="H20" s="34" t="n">
        <v>1800</v>
      </c>
      <c r="I20" s="33" t="inlineStr">
        <is>
          <t>Ask — not listed</t>
        </is>
      </c>
      <c r="J20" s="33" t="inlineStr">
        <is>
          <t>No pets</t>
        </is>
      </c>
      <c r="K20" s="33" t="inlineStr">
        <is>
          <t>1 transfer (L→C) ~50 min</t>
        </is>
      </c>
      <c r="L20" s="33" t="inlineStr">
        <is>
          <t>~25 min (L)</t>
        </is>
      </c>
      <c r="M20" s="33" t="inlineStr">
        <is>
          <t>Available now</t>
        </is>
      </c>
      <c r="N20" s="33" t="inlineStr">
        <is>
          <t>StreetEasy (verified)</t>
        </is>
      </c>
      <c r="O20" s="33" t="inlineStr">
        <is>
          <t>No pets at all. $1,800/person, 900 sqft, private bedrooms on opposite ends + shared yard (same building as rank #2). Columbia ~50 min. Confirm W/D.</t>
        </is>
      </c>
    </row>
    <row r="21">
      <c r="A21" s="35" t="n">
        <v>17</v>
      </c>
      <c r="B21" s="36" t="inlineStr">
        <is>
          <t>254 Wyckoff St #2L</t>
        </is>
      </c>
      <c r="C21" s="36" t="inlineStr">
        <is>
          <t>Boerum Hill</t>
        </is>
      </c>
      <c r="D21" s="36" t="inlineStr">
        <is>
          <t>Brooklyn</t>
        </is>
      </c>
      <c r="E21" s="36" t="inlineStr">
        <is>
          <t>2BR/1BA</t>
        </is>
      </c>
      <c r="F21" s="36" t="n">
        <v>3600</v>
      </c>
      <c r="G21" s="36" t="inlineStr">
        <is>
          <t>whole unit (÷2)</t>
        </is>
      </c>
      <c r="H21" s="34" t="n">
        <v>1800</v>
      </c>
      <c r="I21" s="36" t="inlineStr">
        <is>
          <t>Ask — not listed</t>
        </is>
      </c>
      <c r="J21" s="36" t="inlineStr">
        <is>
          <t>Ask — not listed</t>
        </is>
      </c>
      <c r="K21" s="36" t="inlineStr">
        <is>
          <t>1 transfer (2/3→1 or G→C) ~45–50 min</t>
        </is>
      </c>
      <c r="L21" s="36" t="inlineStr">
        <is>
          <t>~30 min (2/3)</t>
        </is>
      </c>
      <c r="M21" s="36" t="inlineStr">
        <is>
          <t>Not specified</t>
        </is>
      </c>
      <c r="N21" s="36" t="inlineStr">
        <is>
          <t>Zumper (Compass)</t>
        </is>
      </c>
      <c r="O21" s="36" t="inlineStr">
        <is>
          <t>700 sqft (compact). Heat &amp; hot water included. Confirm in-unit W/D and pet policy. Columbia just at 45–50 min mark with 1 transfer.</t>
        </is>
      </c>
    </row>
    <row r="22">
      <c r="A22" s="32" t="n">
        <v>18</v>
      </c>
      <c r="B22" s="33" t="inlineStr">
        <is>
          <t>809 Metropolitan Ave #4</t>
        </is>
      </c>
      <c r="C22" s="33" t="inlineStr">
        <is>
          <t>Williamsburg</t>
        </is>
      </c>
      <c r="D22" s="33" t="inlineStr">
        <is>
          <t>Brooklyn</t>
        </is>
      </c>
      <c r="E22" s="33" t="inlineStr">
        <is>
          <t>3BR/1BA</t>
        </is>
      </c>
      <c r="F22" s="33" t="n">
        <v>4950</v>
      </c>
      <c r="G22" s="33" t="inlineStr">
        <is>
          <t>whole unit (÷3)</t>
        </is>
      </c>
      <c r="H22" s="34" t="n">
        <v>1650</v>
      </c>
      <c r="I22" s="33" t="inlineStr">
        <is>
          <t>Ask — not listed</t>
        </is>
      </c>
      <c r="J22" s="33" t="inlineStr">
        <is>
          <t>Yes (pet friendly)</t>
        </is>
      </c>
      <c r="K22" s="33" t="inlineStr">
        <is>
          <t>1 transfer (L→C) ~50 min</t>
        </is>
      </c>
      <c r="L22" s="33" t="inlineStr">
        <is>
          <t>~25 min (L)</t>
        </is>
      </c>
      <c r="M22" s="33" t="inlineStr">
        <is>
          <t>Not specified</t>
        </is>
      </c>
      <c r="N22" s="33" t="inlineStr">
        <is>
          <t>Zumper (verified)</t>
        </is>
      </c>
      <c r="O22" s="33" t="inlineStr">
        <is>
          <t>Needs a 3rd roommate → $1,650/person. Only 600 sqft for 3 people — very tight. Pet friendly. Confirm in-unit W/D. Prime Williamsburg. Only viable with an excellent 3rd roommate.</t>
        </is>
      </c>
    </row>
    <row r="23">
      <c r="A23" s="32" t="n">
        <v>19</v>
      </c>
      <c r="B23" s="33" t="inlineStr">
        <is>
          <t>640 W 139th St #26</t>
        </is>
      </c>
      <c r="C23" s="33" t="inlineStr">
        <is>
          <t>Hamilton Heights</t>
        </is>
      </c>
      <c r="D23" s="33" t="inlineStr">
        <is>
          <t>Manhattan</t>
        </is>
      </c>
      <c r="E23" s="33" t="inlineStr">
        <is>
          <t>3BR/1BA</t>
        </is>
      </c>
      <c r="F23" s="33" t="n">
        <v>3850</v>
      </c>
      <c r="G23" s="33" t="inlineStr">
        <is>
          <t>whole unit (÷3 w/ 3rd roommate)</t>
        </is>
      </c>
      <c r="H23" s="34" t="n">
        <v>1283</v>
      </c>
      <c r="I23" s="33" t="inlineStr">
        <is>
          <t>Not listed — ask</t>
        </is>
      </c>
      <c r="J23" s="33" t="inlineStr">
        <is>
          <t>Not listed — ask</t>
        </is>
      </c>
      <c r="K23" s="33" t="inlineStr">
        <is>
          <t>0 transfers (1 train) ~15 min</t>
        </is>
      </c>
      <c r="L23" s="33" t="inlineStr">
        <is>
          <t>~30 min (1)</t>
        </is>
      </c>
      <c r="M23" s="33" t="inlineStr">
        <is>
          <t>Available now</t>
        </is>
      </c>
      <c r="N23" s="33" t="inlineStr">
        <is>
          <t>Facebook Marketplace</t>
        </is>
      </c>
      <c r="O23" s="33" t="inlineStr">
        <is>
          <t>North of your stated boundary but EXCELLENT Columbia commute — direct 1 train, 15 min. Steps from City College/Riverside Park. $1,283/person with 3rd roommate (needs one). $1,925/person for just 2 = over budget. Confirm W/D and pets.</t>
        </is>
      </c>
    </row>
    <row r="24">
      <c r="A24" s="35" t="n">
        <v>20</v>
      </c>
      <c r="B24" s="36" t="inlineStr">
        <is>
          <t>W. 126 St, Amsterdam Ave #3</t>
        </is>
      </c>
      <c r="C24" s="36" t="inlineStr">
        <is>
          <t>West Harlem (Morningside Heights border)</t>
        </is>
      </c>
      <c r="D24" s="36" t="inlineStr">
        <is>
          <t>Manhattan</t>
        </is>
      </c>
      <c r="E24" s="36" t="inlineStr">
        <is>
          <t>2BR/1BA</t>
        </is>
      </c>
      <c r="F24" s="36" t="n">
        <v>3695</v>
      </c>
      <c r="G24" s="36" t="inlineStr">
        <is>
          <t>whole unit (÷2)</t>
        </is>
      </c>
      <c r="H24" s="34" t="n">
        <v>1847.5</v>
      </c>
      <c r="I24" s="36" t="inlineStr">
        <is>
          <t>Yes (confirmed)</t>
        </is>
      </c>
      <c r="J24" s="36" t="inlineStr">
        <is>
          <t>Yes (cats + dogs OK)</t>
        </is>
      </c>
      <c r="K24" s="36" t="inlineStr">
        <is>
          <t>0 transfers (1/A/B/C/D trains) ~10–15 min</t>
        </is>
      </c>
      <c r="L24" s="36" t="inlineStr">
        <is>
          <t>~30 min (1)</t>
        </is>
      </c>
      <c r="M24" s="36" t="inlineStr">
        <is>
          <t>6/14/2025 (re-verify)</t>
        </is>
      </c>
      <c r="N24" s="36" t="inlineStr">
        <is>
          <t>TurboTenant (Caryl Mathews)</t>
        </is>
      </c>
      <c r="O24" s="36" t="inlineStr">
        <is>
          <t>North of your boundary but closest possible commute to Columbia (~10–15 min, direct). In-unit W/D confirmed ✓, pets OK, $1,847/person within budget. Same landlord as 126 West St. Availability date listed as 2025 — confirm it's still available.</t>
        </is>
      </c>
    </row>
  </sheetData>
  <mergeCells count="2">
    <mergeCell ref="A1:O1"/>
    <mergeCell ref="A2:O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4" customWidth="1" style="16" min="1" max="1"/>
    <col width="26" customWidth="1" style="16" min="2" max="2"/>
    <col width="15" customWidth="1" style="16" min="3" max="3"/>
    <col width="16" customWidth="1" style="16" min="4" max="4"/>
    <col width="62" customWidth="1" style="16" min="5" max="5"/>
  </cols>
  <sheetData>
    <row r="1" ht="24" customHeight="1" s="17">
      <c r="A1" s="38" t="inlineStr">
        <is>
          <t>Excluded or Needs Verification</t>
        </is>
      </c>
    </row>
    <row r="3" ht="24" customHeight="1" s="17">
      <c r="A3" s="20" t="inlineStr">
        <is>
          <t>Address / Listing</t>
        </is>
      </c>
      <c r="B3" s="20" t="inlineStr">
        <is>
          <t>Neighborhood / Area</t>
        </is>
      </c>
      <c r="C3" s="20" t="inlineStr">
        <is>
          <t>Beds/Bath</t>
        </is>
      </c>
      <c r="D3" s="20" t="inlineStr">
        <is>
          <t>Listed rent</t>
        </is>
      </c>
      <c r="E3" s="20" t="inlineStr">
        <is>
          <t>Why it's set aside</t>
        </is>
      </c>
    </row>
    <row r="4" ht="49.5" customHeight="1" s="17">
      <c r="A4" s="27" t="inlineStr">
        <is>
          <t>640 West 139th St #26</t>
        </is>
      </c>
      <c r="B4" s="27" t="inlineStr">
        <is>
          <t>Hamilton Heights, Manhattan</t>
        </is>
      </c>
      <c r="C4" s="27" t="inlineStr">
        <is>
          <t>3BR</t>
        </is>
      </c>
      <c r="D4" s="27" t="inlineStr">
        <is>
          <t>Not given</t>
        </is>
      </c>
      <c r="E4" s="27" t="inlineStr">
        <is>
          <t>North of your Clinton Hill / Hell's Kitchen cap. (Excellent Columbia commute otherwise — revisit only if you raise the boundary.)</t>
        </is>
      </c>
    </row>
    <row r="5" ht="49.5" customHeight="1" s="17">
      <c r="A5" s="22" t="inlineStr">
        <is>
          <t>Journal Squared 3</t>
        </is>
      </c>
      <c r="B5" s="22" t="inlineStr">
        <is>
          <t>Journal Square, Jersey City NJ</t>
        </is>
      </c>
      <c r="C5" s="22" t="inlineStr">
        <is>
          <t>2BR + LR convert</t>
        </is>
      </c>
      <c r="D5" s="22" t="inlineStr">
        <is>
          <t>Not given</t>
        </is>
      </c>
      <c r="E5" s="22" t="inlineStr">
        <is>
          <t>New Jersey. PATH + a transfer to Columbia ~50–60 min, and the third bed is a living-room conversion.</t>
        </is>
      </c>
    </row>
    <row r="6" ht="49.5" customHeight="1" s="17">
      <c r="A6" s="27" t="inlineStr">
        <is>
          <t>Sierra's "Midtown house"</t>
        </is>
      </c>
      <c r="B6" s="27" t="inlineStr">
        <is>
          <t>"Midtown" — unverified</t>
        </is>
      </c>
      <c r="C6" s="27" t="inlineStr">
        <is>
          <t>3BR/1BA</t>
        </is>
      </c>
      <c r="D6" s="27" t="inlineStr">
        <is>
          <t>$900 / $960 per room</t>
        </is>
      </c>
      <c r="E6" s="27" t="inlineStr">
        <is>
          <t>A house with its own parking lot &amp; alley is almost certainly NOT Manhattan. Likely another city's "Midtown." Has in-unit W/D + utilities included — confirm the actual city/address before pursuing.</t>
        </is>
      </c>
    </row>
    <row r="7" ht="49.5" customHeight="1" s="17">
      <c r="A7" s="22" t="inlineStr">
        <is>
          <t>Two Bridges listing</t>
        </is>
      </c>
      <c r="B7" s="22" t="inlineStr">
        <is>
          <t>Two Bridges, Manhattan</t>
        </is>
      </c>
      <c r="C7" s="22" t="inlineStr">
        <is>
          <t>Not given</t>
        </is>
      </c>
      <c r="D7" s="22" t="inlineStr">
        <is>
          <t>Not given</t>
        </is>
      </c>
      <c r="E7" s="22" t="inlineStr">
        <is>
          <t>No price or details provided yet — ask the poster for specifics.</t>
        </is>
      </c>
    </row>
    <row r="8" ht="49.5" customHeight="1" s="17">
      <c r="A8" s="27" t="inlineStr">
        <is>
          <t>145 Manhattan Ave</t>
        </is>
      </c>
      <c r="B8" s="27" t="inlineStr">
        <is>
          <t>Brooklyn</t>
        </is>
      </c>
      <c r="C8" s="27" t="inlineStr">
        <is>
          <t>3BR/3BA townhouse</t>
        </is>
      </c>
      <c r="D8" s="27" t="inlineStr">
        <is>
          <t>$1,200/mo</t>
        </is>
      </c>
      <c r="E8" s="27" t="inlineStr">
        <is>
          <t>⚠ Likely a scam — $1,200 for a 3BR/3BA townhouse is far below any real market rate. Do not send a deposit or personal info.</t>
        </is>
      </c>
    </row>
    <row r="9">
      <c r="A9" s="33" t="inlineStr">
        <is>
          <t>1259 2nd Ave #12</t>
        </is>
      </c>
      <c r="B9" s="33" t="inlineStr">
        <is>
          <t>Lenox Hill, Manhattan</t>
        </is>
      </c>
      <c r="C9" s="33" t="inlineStr">
        <is>
          <t>3BR/2BA</t>
        </is>
      </c>
      <c r="D9" s="33" t="inlineStr">
        <is>
          <t>$3,250/mo</t>
        </is>
      </c>
      <c r="E9" s="33" t="inlineStr">
        <is>
          <t>Already rented (6/21/2026). Also Lenox Hill is north of your Hell's Kitchen / Clinton Hill cap.</t>
        </is>
      </c>
    </row>
    <row r="10">
      <c r="A10" s="36" t="inlineStr">
        <is>
          <t>208 S Third St #2C</t>
        </is>
      </c>
      <c r="B10" s="36" t="inlineStr">
        <is>
          <t>Williamsburg, Brooklyn</t>
        </is>
      </c>
      <c r="C10" s="36" t="inlineStr">
        <is>
          <t>3BR/1BA</t>
        </is>
      </c>
      <c r="D10" s="36" t="inlineStr">
        <is>
          <t>$5,600/mo</t>
        </is>
      </c>
      <c r="E10" s="36" t="inlineStr">
        <is>
          <t>Already in contract (6/21/2026). Would have needed a 3rd roommate at $1,867/person anyway.</t>
        </is>
      </c>
    </row>
    <row r="11">
      <c r="A11" s="33" t="inlineStr">
        <is>
          <t>32 East 7th St #2E</t>
        </is>
      </c>
      <c r="B11" s="33" t="inlineStr">
        <is>
          <t>East Village, Manhattan</t>
        </is>
      </c>
      <c r="C11" s="33" t="inlineStr">
        <is>
          <t>1BR</t>
        </is>
      </c>
      <c r="D11" s="33" t="inlineStr">
        <is>
          <t>$3,200/mo</t>
        </is>
      </c>
      <c r="E11" s="33" t="inlineStr">
        <is>
          <t>1 bedroom only — not workable for 2 roommates.</t>
        </is>
      </c>
    </row>
    <row r="12">
      <c r="A12" s="36" t="inlineStr">
        <is>
          <t>67-12 Juno St</t>
        </is>
      </c>
      <c r="B12" s="36" t="inlineStr">
        <is>
          <t>Likely Queens</t>
        </is>
      </c>
      <c r="C12" s="36" t="inlineStr">
        <is>
          <t>Unknown</t>
        </is>
      </c>
      <c r="D12" s="36" t="inlineStr">
        <is>
          <t>Unknown</t>
        </is>
      </c>
      <c r="E12" s="36" t="inlineStr">
        <is>
          <t>PDF unreadable (likely a real estate brochure that requires JS). Queens address format; commute to Columbia and NYU would be impractical.</t>
        </is>
      </c>
    </row>
    <row r="13">
      <c r="A13" s="33" t="inlineStr">
        <is>
          <t>E 34th St #14H</t>
        </is>
      </c>
      <c r="B13" s="33" t="inlineStr">
        <is>
          <t>Murray Hill, Manhattan</t>
        </is>
      </c>
      <c r="C13" s="33" t="inlineStr">
        <is>
          <t>2BR/1BA</t>
        </is>
      </c>
      <c r="D13" s="33" t="inlineStr">
        <is>
          <t>$4,450/mo</t>
        </is>
      </c>
      <c r="E13" s="33" t="inlineStr">
        <is>
          <t>$2,225/person — well over your $1,900 cap.</t>
        </is>
      </c>
    </row>
    <row r="14">
      <c r="A14" s="36" t="inlineStr">
        <is>
          <t>W 45th St #3D</t>
        </is>
      </c>
      <c r="B14" s="36" t="inlineStr">
        <is>
          <t>Hell's Kitchen, Manhattan</t>
        </is>
      </c>
      <c r="C14" s="36" t="inlineStr">
        <is>
          <t>2BR/1BA</t>
        </is>
      </c>
      <c r="D14" s="36" t="inlineStr">
        <is>
          <t>$4,500/mo</t>
        </is>
      </c>
      <c r="E14" s="36" t="inlineStr">
        <is>
          <t>$2,250/person — well over cap. Also no pet policy listed and no in-unit W/D.</t>
        </is>
      </c>
    </row>
    <row r="15">
      <c r="A15" s="33" t="inlineStr">
        <is>
          <t>W. 126 St, Amsterdam Ave #3</t>
        </is>
      </c>
      <c r="B15" s="33" t="inlineStr">
        <is>
          <t>West Harlem, Manhattan</t>
        </is>
      </c>
      <c r="C15" s="33" t="inlineStr">
        <is>
          <t>2BR/1BA</t>
        </is>
      </c>
      <c r="D15" s="33" t="inlineStr">
        <is>
          <t>$3,695/mo</t>
        </is>
      </c>
      <c r="E15" s="33" t="inlineStr">
        <is>
          <t>North of your boundary (above 96th St area). Has in-unit W/D and pets OK — revisit only if you widen geography.</t>
        </is>
      </c>
    </row>
    <row r="16">
      <c r="A16" s="36" t="inlineStr">
        <is>
          <t>E 14th St #19</t>
        </is>
      </c>
      <c r="B16" s="36" t="inlineStr">
        <is>
          <t>East Village, Manhattan</t>
        </is>
      </c>
      <c r="C16" s="36" t="inlineStr">
        <is>
          <t>2BR/1BA</t>
        </is>
      </c>
      <c r="D16" s="36" t="inlineStr">
        <is>
          <t>$3,960/mo</t>
        </is>
      </c>
      <c r="E16" s="36" t="inlineStr">
        <is>
          <t>$1,980/person — slightly over $1,900 cap. No W/D confirmed in listing.</t>
        </is>
      </c>
    </row>
    <row r="17">
      <c r="A17" s="33" t="inlineStr">
        <is>
          <t>Delancey St #15A</t>
        </is>
      </c>
      <c r="B17" s="33" t="inlineStr">
        <is>
          <t>Lower East Side, Manhattan</t>
        </is>
      </c>
      <c r="C17" s="33" t="inlineStr">
        <is>
          <t>2BR/1BA</t>
        </is>
      </c>
      <c r="D17" s="33" t="inlineStr">
        <is>
          <t>$3,995/mo</t>
        </is>
      </c>
      <c r="E17" s="33" t="inlineStr">
        <is>
          <t>$1,997.50/person — slightly over cap. Minimal listing detail.</t>
        </is>
      </c>
    </row>
    <row r="18">
      <c r="A18" s="36" t="inlineStr">
        <is>
          <t>9th Ave &amp; W 36th St #10Y</t>
        </is>
      </c>
      <c r="B18" s="36" t="inlineStr">
        <is>
          <t>Garment District, Manhattan</t>
        </is>
      </c>
      <c r="C18" s="36" t="inlineStr">
        <is>
          <t>2BR/1BA</t>
        </is>
      </c>
      <c r="D18" s="36" t="inlineStr">
        <is>
          <t>$3,977/mo</t>
        </is>
      </c>
      <c r="E18" s="36" t="inlineStr">
        <is>
          <t>~$1,989/person — slightly over cap. Laundry facilities in building, not in-unit.</t>
        </is>
      </c>
    </row>
    <row r="19">
      <c r="A19" s="33" t="inlineStr">
        <is>
          <t>307 Gold St #24P</t>
        </is>
      </c>
      <c r="B19" s="33" t="inlineStr">
        <is>
          <t>Downtown Brooklyn / DUMBO</t>
        </is>
      </c>
      <c r="C19" s="33" t="inlineStr">
        <is>
          <t>2BR/1BA</t>
        </is>
      </c>
      <c r="D19" s="33" t="inlineStr">
        <is>
          <t>$3,850/mo</t>
        </is>
      </c>
      <c r="E19" s="33" t="inlineStr">
        <is>
          <t>$1,925/person — over cap. DUMBO also has limited Columbia transit options.</t>
        </is>
      </c>
    </row>
    <row r="20">
      <c r="A20" s="36" t="inlineStr">
        <is>
          <t>63 Duffield St #2R</t>
        </is>
      </c>
      <c r="B20" s="36" t="inlineStr">
        <is>
          <t>Downtown Brooklyn</t>
        </is>
      </c>
      <c r="C20" s="36" t="inlineStr">
        <is>
          <t>2BR/2BA</t>
        </is>
      </c>
      <c r="D20" s="36" t="inlineStr">
        <is>
          <t>$4,000/mo</t>
        </is>
      </c>
      <c r="E20" s="36" t="inlineStr">
        <is>
          <t>$2,000/person — at or above cap. In-building laundry only (not in-unit). Available June 1 — too early.</t>
        </is>
      </c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2026-06-21T21:36:14Z</dcterms:created>
  <dcterms:modified xmlns:dcterms="http://purl.org/dc/terms/" xmlns:xsi="http://www.w3.org/2001/XMLSchema-instance" xsi:type="dcterms:W3CDTF">2026-06-21T22:34:00Z</dcterms:modified>
  <cp:revision>0</cp:revision>
</cp:coreProperties>
</file>